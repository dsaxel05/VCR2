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<sst xmlns="http://schemas.openxmlformats.org/spreadsheetml/2006/main" count="8" uniqueCount="8">
  <si>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month</t>
  </si>
  <si>
    <t xml:space="preserve">revenue</t>
  </si>
  <si>
    <t xml:space="preserve">cash</t>
  </si>
  <si>
    <t xml:space="preserve">burn</t>
  </si>
  <si>
    <t xml:space="preserve">headcount</t>
  </si>
  <si>
    <t xml:space="preserve">2025-01</t>
  </si>
  <si>
    <t xml:space="preserve">2025-02</t>
  </si>
  <si>
    <t xml:space="preserve">2025-03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</si>
</sst>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7.97"/>
    <col collapsed="false" customWidth="true" hidden="false" outlineLevel="0" max="3" min="3" style="0" width="8.39"/>
    <col collapsed="false" customWidth="true" hidden="false" outlineLevel="0" max="4" min="4" style="0" width="7.42"/>
    <col collapsed="false" customWidth="true" hidden="false" outlineLevel="0" max="5" min="5" style="0" width="9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100000</v>
      </c>
      <c r="C2" s="0" t="n">
        <v>5000000</v>
      </c>
      <c r="D2" s="0" t="n">
        <f aca="false">C2*0.05</f>
        <v>250000</v>
      </c>
      <c r="E2" s="0" t="n">
        <v>20</v>
      </c>
    </row>
    <row r="3" customFormat="false" ht="12.8" hidden="false" customHeight="false" outlineLevel="0" collapsed="false">
      <c r="A3" s="0" t="s">
        <v>6</v>
      </c>
      <c r="B3" s="0" t="n">
        <f aca="false">B2*1.1</f>
        <v>110000</v>
      </c>
      <c r="C3" s="0" t="n">
        <f aca="false">C2-D2</f>
        <v>4750000</v>
      </c>
      <c r="D3" s="0" t="n">
        <f aca="false">C3*0.05</f>
        <v>237500</v>
      </c>
      <c r="E3" s="0" t="n">
        <v>21</v>
      </c>
    </row>
    <row r="4" customFormat="false" ht="12.8" hidden="false" customHeight="false" outlineLevel="0" collapsed="false">
      <c r="A4" s="0" t="s">
        <v>7</v>
      </c>
      <c r="B4" s="0" t="n">
        <f aca="false">B3*1.1</f>
        <v>121000</v>
      </c>
      <c r="C4" s="0" t="n">
        <f aca="false">C3-D3</f>
        <v>4512500</v>
      </c>
      <c r="D4" s="0" t="n">
        <f aca="false">C4*0.05</f>
        <v>225625</v>
      </c>
      <c r="E4" s="0" t="n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